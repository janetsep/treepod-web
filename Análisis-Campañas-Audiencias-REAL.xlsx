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Meta Ads Detalle" sheetId="2" state="visible" r:id="rId2"/>
    <sheet xmlns:r="http://schemas.openxmlformats.org/officeDocument/2006/relationships" name="Análisis de Audiencias" sheetId="3" state="visible" r:id="rId3"/>
    <sheet xmlns:r="http://schemas.openxmlformats.org/officeDocument/2006/relationships" name="Recomend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sz val="11"/>
    </font>
    <font>
      <b val="1"/>
      <color rgb="00FFFFFF"/>
      <sz val="12"/>
    </font>
    <font>
      <b val="1"/>
    </font>
    <font>
      <b val="1"/>
      <color rgb="00FF0000"/>
      <sz val="12"/>
    </font>
    <font>
      <color rgb="00FF0000"/>
    </font>
    <font>
      <b val="1"/>
      <color rgb="001F4E78"/>
      <sz val="12"/>
    </font>
    <font>
      <i val="1"/>
      <color rgb="00666666"/>
    </font>
    <font>
      <b val="1"/>
      <color rgb="00FF0000"/>
      <sz val="11"/>
    </font>
    <font>
      <sz val="10"/>
    </font>
    <font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wrapText="1"/>
    </xf>
    <xf numFmtId="0" fontId="3" fillId="0" borderId="0" pivotButton="0" quotePrefix="0" xfId="0"/>
    <xf numFmtId="0" fontId="4" fillId="3" borderId="1" pivotButton="0" quotePrefix="0" xfId="0"/>
    <xf numFmtId="164" fontId="0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ANÁLISIS DE AUDIENCIAS Y CAMPAÑAS - DOMOS TREEPOD</t>
        </is>
      </c>
    </row>
    <row r="2">
      <c r="A2" s="2" t="inlineStr">
        <is>
          <t>Datos de Meta Ads y Google Ads - Últimos 30 días</t>
        </is>
      </c>
    </row>
    <row r="4">
      <c r="A4" s="3" t="inlineStr">
        <is>
          <t>META ADS - RESUMEN</t>
        </is>
      </c>
    </row>
    <row r="5">
      <c r="A5" s="4" t="inlineStr">
        <is>
          <t>Campaña</t>
        </is>
      </c>
      <c r="B5" s="4" t="inlineStr">
        <is>
          <t>Ad Set</t>
        </is>
      </c>
      <c r="C5" s="4" t="inlineStr">
        <is>
          <t>Impresiones</t>
        </is>
      </c>
      <c r="D5" s="4" t="inlineStr">
        <is>
          <t>Clicks</t>
        </is>
      </c>
      <c r="E5" s="4" t="inlineStr">
        <is>
          <t>CTR (%)</t>
        </is>
      </c>
      <c r="F5" s="4" t="inlineStr">
        <is>
          <t>Gasto (CLP)</t>
        </is>
      </c>
      <c r="G5" s="4" t="inlineStr">
        <is>
          <t>Cost/Click</t>
        </is>
      </c>
    </row>
    <row r="6">
      <c r="A6" s="5" t="inlineStr">
        <is>
          <t>Glamping Domos TreePod - Reservas</t>
        </is>
      </c>
      <c r="B6" s="5" t="inlineStr">
        <is>
          <t>Nuevo conjunto de anuncios de Ventas</t>
        </is>
      </c>
      <c r="C6" s="6" t="n">
        <v>12089</v>
      </c>
      <c r="D6" s="6" t="n">
        <v>267</v>
      </c>
      <c r="E6" s="5">
        <f>D6/C6*100</f>
        <v/>
      </c>
      <c r="F6" s="6" t="n">
        <v>11053</v>
      </c>
      <c r="G6" s="5">
        <f>E6/D6</f>
        <v/>
      </c>
    </row>
    <row r="7">
      <c r="A7" s="5" t="inlineStr">
        <is>
          <t>TreePod Reservas v2 - Ad 1</t>
        </is>
      </c>
      <c r="B7" s="5" t="inlineStr">
        <is>
          <t>Conjunto Anuncios Reservas</t>
        </is>
      </c>
      <c r="C7" s="6" t="n">
        <v>8303</v>
      </c>
      <c r="D7" s="6" t="n">
        <v>291</v>
      </c>
      <c r="E7" s="5">
        <f>D7/C7*100</f>
        <v/>
      </c>
      <c r="F7" s="6" t="n">
        <v>11726</v>
      </c>
      <c r="G7" s="5">
        <f>E7/D7</f>
        <v/>
      </c>
    </row>
    <row r="8">
      <c r="A8" s="5" t="inlineStr">
        <is>
          <t>TreePod Reservas v2 - Ad 1</t>
        </is>
      </c>
      <c r="B8" s="5" t="inlineStr">
        <is>
          <t>Conjunto Anuncios Reservas - Copia</t>
        </is>
      </c>
      <c r="C8" s="6" t="n">
        <v>4074</v>
      </c>
      <c r="D8" s="6" t="n">
        <v>140</v>
      </c>
      <c r="E8" s="5">
        <f>D8/C8*100</f>
        <v/>
      </c>
      <c r="F8" s="6" t="n">
        <v>5314</v>
      </c>
      <c r="G8" s="5">
        <f>E8/D8</f>
        <v/>
      </c>
    </row>
    <row r="9">
      <c r="A9" s="7" t="inlineStr">
        <is>
          <t>TOTAL META ADS</t>
        </is>
      </c>
      <c r="B9" s="7" t="n"/>
      <c r="C9" s="7">
        <f>SUM(C6:C8)</f>
        <v/>
      </c>
      <c r="D9" s="7">
        <f>SUM(D6:D8)</f>
        <v/>
      </c>
      <c r="E9" s="7">
        <f>D9/C9*100</f>
        <v/>
      </c>
      <c r="F9" s="7">
        <f>SUM(F6:F8)</f>
        <v/>
      </c>
      <c r="G9" s="7">
        <f>F9/D9</f>
        <v/>
      </c>
    </row>
    <row r="11">
      <c r="A11" s="3" t="inlineStr">
        <is>
          <t>GOOGLE ADS - RESUMEN</t>
        </is>
      </c>
    </row>
    <row r="12">
      <c r="A12" s="4" t="inlineStr">
        <is>
          <t>Campaña</t>
        </is>
      </c>
      <c r="B12" s="4" t="inlineStr">
        <is>
          <t>Ad Group</t>
        </is>
      </c>
      <c r="C12" s="4" t="inlineStr">
        <is>
          <t>Impresiones</t>
        </is>
      </c>
      <c r="D12" s="4" t="inlineStr">
        <is>
          <t>Clicks</t>
        </is>
      </c>
      <c r="E12" s="4" t="inlineStr">
        <is>
          <t>CTR (%)</t>
        </is>
      </c>
      <c r="F12" s="4" t="inlineStr">
        <is>
          <t>Costo (CLP)</t>
        </is>
      </c>
      <c r="G12" s="4" t="inlineStr">
        <is>
          <t>Conversiones</t>
        </is>
      </c>
      <c r="H12" s="4" t="inlineStr">
        <is>
          <t>Cost/Conv</t>
        </is>
      </c>
    </row>
    <row r="13">
      <c r="A13" s="5" t="inlineStr">
        <is>
          <t>Domos-Search-Reservas</t>
        </is>
      </c>
      <c r="B13" s="5" t="inlineStr">
        <is>
          <t>Anuncios Domos-Search-Reservas</t>
        </is>
      </c>
      <c r="C13" s="6" t="n">
        <v>2640</v>
      </c>
      <c r="D13" s="6" t="n">
        <v>234</v>
      </c>
      <c r="E13" s="5">
        <f>D13/C13*100</f>
        <v/>
      </c>
      <c r="F13" s="6" t="n">
        <v>28218</v>
      </c>
      <c r="G13" s="6" t="n">
        <v>1</v>
      </c>
      <c r="H13" s="5">
        <f>F13/G13</f>
        <v/>
      </c>
    </row>
    <row r="16">
      <c r="A16" s="8" t="inlineStr">
        <is>
          <t>🚨 PROBLEMA CRÍTICO DETECTADO</t>
        </is>
      </c>
    </row>
    <row r="17">
      <c r="A17" s="9" t="inlineStr">
        <is>
          <t>Meta Ads: NO hay conversiones rastreadas (leads=NULL, purchases=NULL)</t>
        </is>
      </c>
    </row>
    <row r="18">
      <c r="A18" s="9" t="inlineStr">
        <is>
          <t>Google Ads: Solo 1 conversión en últimos 30 días (CLP 28,218 por conversión)</t>
        </is>
      </c>
    </row>
    <row r="19">
      <c r="A19" s="10" t="inlineStr">
        <is>
          <t>Implicación: No hay pixel de conversión correctamente configurado en Meta Ads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1" t="inlineStr">
        <is>
          <t>META ADS - ANÁLISIS DETALLADO</t>
        </is>
      </c>
    </row>
    <row r="2">
      <c r="A2" s="12" t="inlineStr">
        <is>
          <t>Campaña</t>
        </is>
      </c>
      <c r="B2" s="12" t="inlineStr">
        <is>
          <t>Ad Set (Audiencia)</t>
        </is>
      </c>
      <c r="C2" s="12" t="inlineStr">
        <is>
          <t>Impresiones</t>
        </is>
      </c>
      <c r="D2" s="12" t="inlineStr">
        <is>
          <t>Clicks</t>
        </is>
      </c>
      <c r="E2" s="12" t="inlineStr">
        <is>
          <t>CTR</t>
        </is>
      </c>
      <c r="F2" s="12" t="inlineStr">
        <is>
          <t>Gasto (CLP)</t>
        </is>
      </c>
      <c r="G2" s="12" t="inlineStr">
        <is>
          <t>CPM</t>
        </is>
      </c>
      <c r="H2" s="12" t="inlineStr">
        <is>
          <t>CPC</t>
        </is>
      </c>
      <c r="I2" s="12" t="inlineStr">
        <is>
          <t>Leads Rastreados</t>
        </is>
      </c>
      <c r="J2" s="12" t="inlineStr">
        <is>
          <t>Purchases Rastreados</t>
        </is>
      </c>
    </row>
    <row r="4">
      <c r="A4" s="5" t="inlineStr">
        <is>
          <t>Glamping Domos TreePod - Reservas</t>
        </is>
      </c>
      <c r="B4" s="5" t="inlineStr">
        <is>
          <t>Nuevo conjunto de anuncios de Ventas</t>
        </is>
      </c>
      <c r="C4" s="6" t="n">
        <v>12089</v>
      </c>
      <c r="D4" s="6" t="n">
        <v>267</v>
      </c>
      <c r="E4" s="5">
        <f>D4/C4*100</f>
        <v/>
      </c>
      <c r="F4" s="6" t="n">
        <v>11053</v>
      </c>
      <c r="G4" s="5">
        <f>F4/C4*1000</f>
        <v/>
      </c>
      <c r="H4" s="5">
        <f>F4/D4</f>
        <v/>
      </c>
      <c r="I4" s="5" t="inlineStr">
        <is>
          <t>NULL (no rastreado)</t>
        </is>
      </c>
      <c r="J4" s="5" t="inlineStr">
        <is>
          <t>NULL (no rastreado)</t>
        </is>
      </c>
    </row>
    <row r="5">
      <c r="A5" s="5" t="inlineStr">
        <is>
          <t>TreePod Reservas v2 - Ad 1</t>
        </is>
      </c>
      <c r="B5" s="5" t="inlineStr">
        <is>
          <t>Conjunto Anuncios Reservas</t>
        </is>
      </c>
      <c r="C5" s="6" t="n">
        <v>8303</v>
      </c>
      <c r="D5" s="6" t="n">
        <v>291</v>
      </c>
      <c r="E5" s="5">
        <f>D5/C5*100</f>
        <v/>
      </c>
      <c r="F5" s="6" t="n">
        <v>11726</v>
      </c>
      <c r="G5" s="5">
        <f>F5/C5*1000</f>
        <v/>
      </c>
      <c r="H5" s="5">
        <f>F5/D5</f>
        <v/>
      </c>
      <c r="I5" s="5" t="inlineStr">
        <is>
          <t>NULL (no rastreado)</t>
        </is>
      </c>
      <c r="J5" s="5" t="inlineStr">
        <is>
          <t>NULL (no rastreado)</t>
        </is>
      </c>
    </row>
    <row r="6">
      <c r="A6" s="5" t="inlineStr">
        <is>
          <t>TreePod Reservas v2 - Ad 1</t>
        </is>
      </c>
      <c r="B6" s="5" t="inlineStr">
        <is>
          <t>Conjunto Anuncios Reservas - Copia</t>
        </is>
      </c>
      <c r="C6" s="6" t="n">
        <v>4074</v>
      </c>
      <c r="D6" s="6" t="n">
        <v>140</v>
      </c>
      <c r="E6" s="5">
        <f>D6/C6*100</f>
        <v/>
      </c>
      <c r="F6" s="6" t="n">
        <v>5314</v>
      </c>
      <c r="G6" s="5">
        <f>F6/C6*1000</f>
        <v/>
      </c>
      <c r="H6" s="5">
        <f>F6/D6</f>
        <v/>
      </c>
      <c r="I6" s="5" t="inlineStr">
        <is>
          <t>NULL (no rastreado)</t>
        </is>
      </c>
      <c r="J6" s="5" t="inlineStr">
        <is>
          <t>NULL (no rastreado)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40" customWidth="1" min="4" max="4"/>
  </cols>
  <sheetData>
    <row r="1">
      <c r="A1" s="11" t="inlineStr">
        <is>
          <t>AUDIENCIAS OBJETIVO ACTUAL - SEGÚN ADS</t>
        </is>
      </c>
    </row>
    <row r="3">
      <c r="A3" s="13" t="inlineStr">
        <is>
          <t>Meta Ads - Audiencias Identificadas:</t>
        </is>
      </c>
    </row>
    <row r="4">
      <c r="A4" s="14" t="inlineStr">
        <is>
          <t>Ad Set / Audiencia</t>
        </is>
      </c>
      <c r="B4" s="14" t="inlineStr">
        <is>
          <t>Impresiones</t>
        </is>
      </c>
      <c r="C4" s="14" t="inlineStr">
        <is>
          <t>% del Total</t>
        </is>
      </c>
      <c r="D4" s="14" t="inlineStr">
        <is>
          <t>Posible Demografía</t>
        </is>
      </c>
    </row>
    <row r="5">
      <c r="A5" s="5" t="inlineStr">
        <is>
          <t>Nuevo conjunto de anuncios de Ventas</t>
        </is>
      </c>
      <c r="B5" s="5" t="n">
        <v>12089</v>
      </c>
      <c r="C5" s="15">
        <f>C5/SUM($C$5:$C$7)*100</f>
        <v/>
      </c>
      <c r="D5" s="5" t="inlineStr">
        <is>
          <t>Familias, parejas que buscan glamping premium</t>
        </is>
      </c>
    </row>
    <row r="6">
      <c r="A6" s="5" t="inlineStr">
        <is>
          <t>Conjunto Anuncios Reservas</t>
        </is>
      </c>
      <c r="B6" s="5" t="n">
        <v>8303</v>
      </c>
      <c r="C6" s="15">
        <f>C6/SUM($C$5:$C$7)*100</f>
        <v/>
      </c>
      <c r="D6" s="5" t="inlineStr">
        <is>
          <t>Viajeros con interés en alojamiento premium</t>
        </is>
      </c>
    </row>
    <row r="7">
      <c r="A7" s="5" t="inlineStr">
        <is>
          <t>Conjunto Anuncios Reservas - Copia</t>
        </is>
      </c>
      <c r="B7" s="5" t="n">
        <v>4074</v>
      </c>
      <c r="C7" s="15">
        <f>C7/SUM($C$5:$C$7)*100</f>
        <v/>
      </c>
      <c r="D7" s="5" t="inlineStr">
        <is>
          <t>Re-marketing a visitantes del sitio web</t>
        </is>
      </c>
    </row>
    <row r="9">
      <c r="A9" s="13" t="inlineStr">
        <is>
          <t>Google Ads - Palabras Clave:</t>
        </is>
      </c>
    </row>
    <row r="10">
      <c r="A10" s="16" t="inlineStr">
        <is>
          <t>Nota: No se obtuvieron datos de palabras clave específicas en el último período de 30 días</t>
        </is>
      </c>
    </row>
    <row r="12">
      <c r="A12" s="17" t="inlineStr">
        <is>
          <t>BRECHA DE AUDIENCIAS IDENTIFICADA:</t>
        </is>
      </c>
    </row>
    <row r="14">
      <c r="A14" s="9" t="inlineStr">
        <is>
          <t>1. NO se están rastreando conversiones en Meta Ads</t>
        </is>
      </c>
    </row>
    <row r="15">
      <c r="A15" s="9" t="inlineStr">
        <is>
          <t>2. Información demográfica limitada (edad, género no disponible en datos)</t>
        </is>
      </c>
    </row>
    <row r="16">
      <c r="A16" s="9" t="inlineStr">
        <is>
          <t>3. Ubicación geográfica no desglosada</t>
        </is>
      </c>
    </row>
    <row r="17">
      <c r="A17" s="9" t="inlineStr">
        <is>
          <t>4. Comportamientos de usuarios no documentados</t>
        </is>
      </c>
    </row>
    <row r="18">
      <c r="A18" s="9" t="inlineStr">
        <is>
          <t>5. Datos de dispositivo no disponibles (móvil vs desktop)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1" t="inlineStr">
        <is>
          <t>RECOMENDACIONES - CÓMO REFLEJAR AUDIENCIAS EN CAMPAÑAS</t>
        </is>
      </c>
    </row>
    <row r="3">
      <c r="A3" s="17" t="inlineStr">
        <is>
          <t>PROBLEMA 1: Meta Ads sin conversiones rastreadas</t>
        </is>
      </c>
    </row>
    <row r="4">
      <c r="A4" s="18" t="inlineStr">
        <is>
          <t>Acción inmediata: Verificar que el Pixel de Facebook está instalado en el sitio</t>
        </is>
      </c>
    </row>
    <row r="5">
      <c r="A5" s="18" t="inlineStr">
        <is>
          <t>Verificar que los eventos de conversión (Lead, Purchase) están correctamente configurados</t>
        </is>
      </c>
    </row>
    <row r="6">
      <c r="A6" s="18" t="inlineStr">
        <is>
          <t>Revisar si hay bloqueo de rastreo por privacidad del navegador</t>
        </is>
      </c>
    </row>
    <row r="7">
      <c r="A7" s="18" t="inlineStr">
        <is>
          <t>Implementar Conversiones Asistidas de Facebook (API de Conversiones Offline)</t>
        </is>
      </c>
    </row>
    <row r="9">
      <c r="A9" s="17" t="inlineStr">
        <is>
          <t>PROBLEMA 2: Datos de audiencia limitados</t>
        </is>
      </c>
    </row>
    <row r="10">
      <c r="A10" s="18" t="inlineStr">
        <is>
          <t>Recomendación: Exportar datos detallados con segmentación por edad, género, ubicación</t>
        </is>
      </c>
    </row>
    <row r="11">
      <c r="A11" s="18" t="inlineStr">
        <is>
          <t>Crear audiencias de lookalike basadas en conversiones actuales</t>
        </is>
      </c>
    </row>
    <row r="12">
      <c r="A12" s="18" t="inlineStr">
        <is>
          <t>Implementar audiencias personalizadas (website visitors, email list, etc)</t>
        </is>
      </c>
    </row>
    <row r="13">
      <c r="A13" s="18" t="inlineStr">
        <is>
          <t>Establecer rastreo de comportamiento (abandono de carrito, tiempo en sitio)</t>
        </is>
      </c>
    </row>
    <row r="14">
      <c r="A14" s="18" t="inlineStr">
        <is>
          <t>Segmentar por dispositivo (móvil vs desktop) para optimizar creativo</t>
        </is>
      </c>
    </row>
    <row r="16">
      <c r="A16" s="19" t="inlineStr">
        <is>
          <t>CÓMO REFLEJAR AUDIENCIAS EN CAMPAÑAS:</t>
        </is>
      </c>
    </row>
    <row r="17">
      <c r="A17" s="14" t="inlineStr">
        <is>
          <t>Audiencia Identificada</t>
        </is>
      </c>
      <c r="B17" s="14" t="inlineStr">
        <is>
          <t>Campaña Recomendada</t>
        </is>
      </c>
      <c r="C17" s="14" t="inlineStr">
        <is>
          <t>Mensaje / Creatividad</t>
        </is>
      </c>
      <c r="D17" s="14" t="inlineStr">
        <is>
          <t>Plataforma</t>
        </is>
      </c>
    </row>
    <row r="18">
      <c r="A18" s="5" t="inlineStr">
        <is>
          <t>Familias (4-6 personas)</t>
        </is>
      </c>
      <c r="B18" s="5" t="inlineStr">
        <is>
          <t>Family Packages</t>
        </is>
      </c>
      <c r="C18" s="5" t="inlineStr">
        <is>
          <t>Espacios amplios, múltiples domos, actividades en grupo</t>
        </is>
      </c>
      <c r="D18" s="5" t="inlineStr">
        <is>
          <t>Meta Ads + Google</t>
        </is>
      </c>
    </row>
    <row r="19">
      <c r="A19" s="5" t="inlineStr">
        <is>
          <t>Parejas premium (2 personas)</t>
        </is>
      </c>
      <c r="B19" s="5" t="inlineStr">
        <is>
          <t>Romantic Getaway</t>
        </is>
      </c>
      <c r="C19" s="5" t="inlineStr">
        <is>
          <t>Intimidad, vistas, experiencia personalizada</t>
        </is>
      </c>
      <c r="D19" s="5" t="inlineStr">
        <is>
          <t>Meta Ads + Google</t>
        </is>
      </c>
    </row>
    <row r="20">
      <c r="A20" s="5" t="inlineStr">
        <is>
          <t>Viajeros activos/aventura</t>
        </is>
      </c>
      <c r="B20" s="5" t="inlineStr">
        <is>
          <t>Adventure Packages</t>
        </is>
      </c>
      <c r="C20" s="5" t="inlineStr">
        <is>
          <t>Hiking, outdoor activities, naturaleza</t>
        </is>
      </c>
      <c r="D20" s="5" t="inlineStr">
        <is>
          <t>Meta Ads</t>
        </is>
      </c>
    </row>
    <row r="21">
      <c r="A21" s="5" t="inlineStr">
        <is>
          <t>Wellness conscious</t>
        </is>
      </c>
      <c r="B21" s="5" t="inlineStr">
        <is>
          <t>Wellness Retreat</t>
        </is>
      </c>
      <c r="C21" s="5" t="inlineStr">
        <is>
          <t>Spa, yoga, meditación, relax</t>
        </is>
      </c>
      <c r="D21" s="5" t="inlineStr">
        <is>
          <t>Meta Ads</t>
        </is>
      </c>
    </row>
    <row r="22">
      <c r="A22" s="5" t="inlineStr">
        <is>
          <t>Luxury seekers</t>
        </is>
      </c>
      <c r="B22" s="5" t="inlineStr">
        <is>
          <t>Premium Experience</t>
        </is>
      </c>
      <c r="C22" s="5" t="inlineStr">
        <is>
          <t>Arquitectura, diseño, exclusividad</t>
        </is>
      </c>
      <c r="D22" s="5" t="inlineStr">
        <is>
          <t>Google Ads (High Intent)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2026-03-26T02:28:00Z</dcterms:created>
  <dcterms:modified xmlns:dcterms="http://purl.org/dc/terms/" xmlns:xsi="http://www.w3.org/2001/XMLSchema-instance" xsi:type="dcterms:W3CDTF">2026-03-26T02:28:00Z</dcterms:modified>
</cp:coreProperties>
</file>